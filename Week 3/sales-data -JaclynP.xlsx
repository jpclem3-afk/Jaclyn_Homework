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ly\OneDrive\Desktop\DataAnalyticsCourse\Jaclyn_Homework\Week 3\"/>
    </mc:Choice>
  </mc:AlternateContent>
  <xr:revisionPtr revIDLastSave="0" documentId="8_{1506975B-C16C-46E9-91F0-90AFFD1B133C}" xr6:coauthVersionLast="47" xr6:coauthVersionMax="47" xr10:uidLastSave="{00000000-0000-0000-0000-000000000000}"/>
  <bookViews>
    <workbookView xWindow="2670" yWindow="150" windowWidth="22920" windowHeight="12640" xr2:uid="{00000000-000D-0000-FFFF-FFFF00000000}"/>
  </bookViews>
  <sheets>
    <sheet name="Sheet1" sheetId="1" r:id="rId1"/>
  </sheets>
  <definedNames>
    <definedName name="_xlnm._FilterDatabase" localSheetId="0" hidden="1">Sheet1!$B$1:$B$40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4" i="1"/>
  <c r="D21" i="1" a="1"/>
  <c r="D21" i="1" s="1"/>
  <c r="D18" i="1"/>
  <c r="B15" i="1"/>
  <c r="B14" i="1"/>
  <c r="D13" i="1"/>
  <c r="C13" i="1"/>
  <c r="B13" i="1"/>
  <c r="E11" i="1"/>
  <c r="D11" i="1"/>
  <c r="C11" i="1"/>
  <c r="F10" i="1"/>
  <c r="F9" i="1"/>
  <c r="F8" i="1"/>
  <c r="F7" i="1"/>
  <c r="F6" i="1"/>
  <c r="F5" i="1"/>
  <c r="F4" i="1"/>
  <c r="F3" i="1"/>
  <c r="F2" i="1"/>
  <c r="A25" i="1"/>
  <c r="A24" i="1"/>
  <c r="A21" i="1" a="1"/>
  <c r="A21" i="1" s="1"/>
  <c r="A18" i="1"/>
  <c r="C25" i="1"/>
  <c r="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<sst xmlns="http://schemas.openxmlformats.org/spreadsheetml/2006/main" count="33" uniqueCount="28">
  <si>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</si>
  <si>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</si>
  <si>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</si>
  <si>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</si>
  <si>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</si>
  <si>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</si>
  <si>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</si>
  <si>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</si>
  <si>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</si>
  <si>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</si>
  <si>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</si>
  <si>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</si>
  <si>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</si>
  <si>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</si>
  <si>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</si>
  <si>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</si>
  <si>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</si>
  <si>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</si>
  <si>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</si>
  <si>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</si>
  <si>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Calculate the best month by a specific product</t>
  </si>
  <si>
    <t>Best month by category (highest single item sale)</t>
  </si>
  <si>
    <t>Best month by a specific product</t>
  </si>
  <si>
    <t>Wrong</t>
  </si>
  <si>
    <t>Correct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</si>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</sst>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1" fillId="0" borderId="0" xfId="1" applyFont="1"/>
    <xf numFmtId="44" fontId="1" fillId="0" borderId="0" xfId="1" applyFont="1" applyAlignment="1">
      <alignment wrapText="1"/>
    </xf>
    <xf numFmtId="44" fontId="0" fillId="2" borderId="0" xfId="1" applyFont="1" applyFill="1" applyAlignment="1">
      <alignment wrapText="1"/>
    </xf>
    <xf numFmtId="44" fontId="2" fillId="0" borderId="0" xfId="1" applyFont="1"/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Category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Sheet1!$B$2:$B$11</c:f>
              <c:numCache>
                <c:formatCode>_("$"* #,##0.00_);_("$"* \(#,##0.00\);_("$"*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94C-ADE2-DC5AD6FBE39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Jan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Sheet1!$C$2:$C$11</c:f>
              <c:numCache>
                <c:formatCode>_("$"* #,##0.00_);_("$"* \(#,##0.00\);_("$"* "-"??_);_(@_)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9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94C-ADE2-DC5AD6FBE39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Feb Sales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Sheet1!$D$2:$D$11</c:f>
              <c:numCache>
                <c:formatCode>_("$"* #,##0.00_);_("$"* \(#,##0.00\);_("$"* "-"??_);_(@_)</c:formatCode>
                <c:ptCount val="10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9">
                  <c:v>3970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24-494C-ADE2-DC5AD6FBE39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Mar Sales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Sheet1!$E$2:$E$11</c:f>
              <c:numCache>
                <c:formatCode>_("$"* #,##0.00_);_("$"* \(#,##0.00\);_("$"* "-"??_);_(@_)</c:formatCode>
                <c:ptCount val="10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  <c:pt idx="9">
                  <c:v>4390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24-494C-ADE2-DC5AD6FBE39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Total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Sheet1!$F$2:$F$11</c:f>
              <c:numCache>
                <c:formatCode>_("$"* #,##0.00_);_("$"* \(#,##0.00\);_("$"* "-"??_);_(@_)</c:formatCode>
                <c:ptCount val="10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  <c:pt idx="9">
                  <c:v>11810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24-494C-ADE2-DC5AD6FBE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824751"/>
        <c:axId val="1851720655"/>
      </c:lineChart>
      <c:catAx>
        <c:axId val="110482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20655"/>
        <c:crosses val="autoZero"/>
        <c:auto val="1"/>
        <c:lblAlgn val="ctr"/>
        <c:lblOffset val="100"/>
        <c:noMultiLvlLbl val="0"/>
      </c:catAx>
      <c:valAx>
        <c:axId val="18517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82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Category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Sheet1!$B$2:$B$11</c:f>
              <c:numCache>
                <c:formatCode>_("$"* #,##0.00_);_("$"* \(#,##0.00\);_("$"*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07C-AA97-11BFE31B8FC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Jan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Sheet1!$C$2:$C$11</c:f>
              <c:numCache>
                <c:formatCode>_("$"* #,##0.00_);_("$"* \(#,##0.00\);_("$"* "-"??_);_(@_)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9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F-407C-AA97-11BFE31B8FC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Feb Sales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Sheet1!$D$2:$D$11</c:f>
              <c:numCache>
                <c:formatCode>_("$"* #,##0.00_);_("$"* \(#,##0.00\);_("$"* "-"??_);_(@_)</c:formatCode>
                <c:ptCount val="10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9">
                  <c:v>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F-407C-AA97-11BFE31B8FC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Mar Sales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Sheet1!$E$2:$E$11</c:f>
              <c:numCache>
                <c:formatCode>_("$"* #,##0.00_);_("$"* \(#,##0.00\);_("$"* "-"??_);_(@_)</c:formatCode>
                <c:ptCount val="10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  <c:pt idx="9">
                  <c:v>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F-407C-AA97-11BFE31B8FC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Total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 Laptop </c:v>
                </c:pt>
                <c:pt idx="1">
                  <c:v> Smartphone </c:v>
                </c:pt>
                <c:pt idx="2">
                  <c:v> Headphones </c:v>
                </c:pt>
                <c:pt idx="3">
                  <c:v> Desk Chair </c:v>
                </c:pt>
                <c:pt idx="4">
                  <c:v> Coffee Maker </c:v>
                </c:pt>
                <c:pt idx="5">
                  <c:v> Blender </c:v>
                </c:pt>
                <c:pt idx="6">
                  <c:v> T-Shirt </c:v>
                </c:pt>
                <c:pt idx="7">
                  <c:v> Jeans </c:v>
                </c:pt>
                <c:pt idx="8">
                  <c:v> Sneakers </c:v>
                </c:pt>
                <c:pt idx="9">
                  <c:v> Total </c:v>
                </c:pt>
              </c:strCache>
            </c:strRef>
          </c:cat>
          <c:val>
            <c:numRef>
              <c:f>Sheet1!$F$2:$F$11</c:f>
              <c:numCache>
                <c:formatCode>_("$"* #,##0.00_);_("$"* \(#,##0.00\);_("$"* "-"??_);_(@_)</c:formatCode>
                <c:ptCount val="10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  <c:pt idx="9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BF-407C-AA97-11BFE31B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6059023"/>
        <c:axId val="1851751375"/>
        <c:axId val="0"/>
      </c:bar3DChart>
      <c:catAx>
        <c:axId val="196605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51375"/>
        <c:crosses val="autoZero"/>
        <c:auto val="1"/>
        <c:lblAlgn val="ctr"/>
        <c:lblOffset val="100"/>
        <c:noMultiLvlLbl val="0"/>
      </c:catAx>
      <c:valAx>
        <c:axId val="18517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5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Sheet1!$A$2:$B$2</c:f>
              <c:strCache>
                <c:ptCount val="2"/>
                <c:pt idx="0">
                  <c:v> Laptop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Sheet1!$C$2:$F$2</c:f>
              <c:numCache>
                <c:formatCode>_("$"* #,##0.00_);_("$"* \(#,##0.00\);_("$"* "-"??_);_(@_)</c:formatCode>
                <c:ptCount val="4"/>
                <c:pt idx="0">
                  <c:v>1200</c:v>
                </c:pt>
                <c:pt idx="1">
                  <c:v>1400</c:v>
                </c:pt>
                <c:pt idx="2">
                  <c:v>1350</c:v>
                </c:pt>
                <c:pt idx="3">
                  <c:v>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515-9FDF-B5F123555583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 Smartphone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Sheet1!$C$3:$F$3</c:f>
              <c:numCache>
                <c:formatCode>_("$"* #,##0.00_);_("$"* \(#,##0.00\);_("$"* "-"??_);_(@_)</c:formatCode>
                <c:ptCount val="4"/>
                <c:pt idx="0">
                  <c:v>800</c:v>
                </c:pt>
                <c:pt idx="1">
                  <c:v>950</c:v>
                </c:pt>
                <c:pt idx="2">
                  <c:v>1100</c:v>
                </c:pt>
                <c:pt idx="3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8-4515-9FDF-B5F123555583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 Headphones </c:v>
                </c:pt>
                <c:pt idx="1">
                  <c:v> Electronics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Sheet1!$C$4:$F$4</c:f>
              <c:numCache>
                <c:formatCode>_("$"* #,##0.00_);_("$"* \(#,##0.00\);_("$"* "-"??_);_(@_)</c:formatCode>
                <c:ptCount val="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8-4515-9FDF-B5F123555583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 Desk Chair </c:v>
                </c:pt>
                <c:pt idx="1">
                  <c:v> Furniture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Sheet1!$C$5:$F$5</c:f>
              <c:numCache>
                <c:formatCode>_("$"* #,##0.00_);_("$"* \(#,##0.00\);_("$"* "-"??_);_(@_)</c:formatCode>
                <c:ptCount val="4"/>
                <c:pt idx="0">
                  <c:v>350</c:v>
                </c:pt>
                <c:pt idx="1">
                  <c:v>300</c:v>
                </c:pt>
                <c:pt idx="2">
                  <c:v>400</c:v>
                </c:pt>
                <c:pt idx="3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98-4515-9FDF-B5F123555583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 Coffee Maker </c:v>
                </c:pt>
                <c:pt idx="1">
                  <c:v> Appliances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Sheet1!$C$6:$F$6</c:f>
              <c:numCache>
                <c:formatCode>_("$"* #,##0.00_);_("$"* \(#,##0.00\);_("$"* "-"??_);_(@_)</c:formatCode>
                <c:ptCount val="4"/>
                <c:pt idx="0">
                  <c:v>120</c:v>
                </c:pt>
                <c:pt idx="1">
                  <c:v>140</c:v>
                </c:pt>
                <c:pt idx="2">
                  <c:v>160</c:v>
                </c:pt>
                <c:pt idx="3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8-4515-9FDF-B5F123555583}"/>
            </c:ext>
          </c:extLst>
        </c:ser>
        <c:ser>
          <c:idx val="5"/>
          <c:order val="5"/>
          <c:tx>
            <c:strRef>
              <c:f>Sheet1!$A$7:$B$7</c:f>
              <c:strCache>
                <c:ptCount val="2"/>
                <c:pt idx="0">
                  <c:v> Blender </c:v>
                </c:pt>
                <c:pt idx="1">
                  <c:v> Appliances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Sheet1!$C$7:$F$7</c:f>
              <c:numCache>
                <c:formatCode>_("$"* #,##0.00_);_("$"* \(#,##0.00\);_("$"* "-"??_);_(@_)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110</c:v>
                </c:pt>
                <c:pt idx="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98-4515-9FDF-B5F123555583}"/>
            </c:ext>
          </c:extLst>
        </c:ser>
        <c:ser>
          <c:idx val="6"/>
          <c:order val="6"/>
          <c:tx>
            <c:strRef>
              <c:f>Sheet1!$A$8:$B$8</c:f>
              <c:strCache>
                <c:ptCount val="2"/>
                <c:pt idx="0">
                  <c:v> T-Shirt </c:v>
                </c:pt>
                <c:pt idx="1">
                  <c:v> Clothing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Sheet1!$C$8:$F$8</c:f>
              <c:numCache>
                <c:formatCode>_("$"* #,##0.00_);_("$"* \(#,##0.00\);_("$"* "-"??_);_(@_)</c:formatCode>
                <c:ptCount val="4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98-4515-9FDF-B5F123555583}"/>
            </c:ext>
          </c:extLst>
        </c:ser>
        <c:ser>
          <c:idx val="7"/>
          <c:order val="7"/>
          <c:tx>
            <c:strRef>
              <c:f>Sheet1!$A$9:$B$9</c:f>
              <c:strCache>
                <c:ptCount val="2"/>
                <c:pt idx="0">
                  <c:v> Jeans </c:v>
                </c:pt>
                <c:pt idx="1">
                  <c:v> Clothing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Sheet1!$C$9:$F$9</c:f>
              <c:numCache>
                <c:formatCode>_("$"* #,##0.00_);_("$"* \(#,##0.00\);_("$"* "-"??_);_(@_)</c:formatCode>
                <c:ptCount val="4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98-4515-9FDF-B5F123555583}"/>
            </c:ext>
          </c:extLst>
        </c:ser>
        <c:ser>
          <c:idx val="8"/>
          <c:order val="8"/>
          <c:tx>
            <c:strRef>
              <c:f>Sheet1!$A$10:$B$10</c:f>
              <c:strCache>
                <c:ptCount val="2"/>
                <c:pt idx="0">
                  <c:v> Sneakers </c:v>
                </c:pt>
                <c:pt idx="1">
                  <c:v> Footware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Sheet1!$C$10:$F$10</c:f>
              <c:numCache>
                <c:formatCode>_("$"* #,##0.00_);_("$"* \(#,##0.00\);_("$"* "-"??_);_(@_)</c:formatCode>
                <c:ptCount val="4"/>
                <c:pt idx="0">
                  <c:v>250</c:v>
                </c:pt>
                <c:pt idx="1">
                  <c:v>280</c:v>
                </c:pt>
                <c:pt idx="2">
                  <c:v>320</c:v>
                </c:pt>
                <c:pt idx="3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98-4515-9FDF-B5F123555583}"/>
            </c:ext>
          </c:extLst>
        </c:ser>
        <c:ser>
          <c:idx val="9"/>
          <c:order val="9"/>
          <c:tx>
            <c:strRef>
              <c:f>Sheet1!$A$11:$B$11</c:f>
              <c:strCache>
                <c:ptCount val="2"/>
                <c:pt idx="0">
                  <c:v> 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Sheet1!$C$1:$F$1</c:f>
              <c:strCache>
                <c:ptCount val="4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  <c:pt idx="3">
                  <c:v> Total </c:v>
                </c:pt>
              </c:strCache>
            </c:strRef>
          </c:cat>
          <c:val>
            <c:numRef>
              <c:f>Sheet1!$C$11:$F$11</c:f>
              <c:numCache>
                <c:formatCode>_("$"* #,##0.00_);_("$"* \(#,##0.00\);_("$"* "-"??_);_(@_)</c:formatCode>
                <c:ptCount val="4"/>
                <c:pt idx="0">
                  <c:v>3450</c:v>
                </c:pt>
                <c:pt idx="1">
                  <c:v>3970</c:v>
                </c:pt>
                <c:pt idx="2">
                  <c:v>4390</c:v>
                </c:pt>
                <c:pt idx="3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98-4515-9FDF-B5F12355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27</xdr:row>
      <xdr:rowOff>53975</xdr:rowOff>
    </xdr:from>
    <xdr:to>
      <xdr:col>2</xdr:col>
      <xdr:colOff>1298575</xdr:colOff>
      <xdr:row>41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F0158-8DEE-AF1E-A729-37281A3BA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1520825</xdr:colOff>
      <xdr:row>27</xdr:row>
      <xdr:rowOff>73025</xdr:rowOff>
    </xdr:from>
    <xdr:to>
      <xdr:col>6</xdr:col>
      <xdr:colOff>34925</xdr:colOff>
      <xdr:row>41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314E8-116F-985F-8841-0A58B7D7A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301625</xdr:colOff>
      <xdr:row>27</xdr:row>
      <xdr:rowOff>73025</xdr:rowOff>
    </xdr:from>
    <xdr:to>
      <xdr:col>9</xdr:col>
      <xdr:colOff>3044825</xdr:colOff>
      <xdr:row>41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B69925-CE2E-B4F0-0635-878221C64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B1" workbookViewId="0">
      <selection activeCell="J19" sqref="J19"/>
    </sheetView>
  </sheetViews>
  <sheetFormatPr defaultRowHeight="14.5" x14ac:dyDescent="0.35"/>
  <cols>
    <col min="1" max="1" width="28.7265625" style="1" customWidth="1"/>
    <col min="2" max="2" width="19.1796875" style="1" customWidth="1"/>
    <col min="3" max="3" width="39.6328125" style="1" customWidth="1"/>
    <col min="4" max="4" width="15.90625" style="1" bestFit="1" customWidth="1"/>
    <col min="5" max="5" width="16" style="1" bestFit="1" customWidth="1"/>
    <col min="6" max="6" width="15.1796875" style="1" customWidth="1"/>
    <col min="7" max="9" width="8.7265625" style="1"/>
    <col min="10" max="10" width="57.90625" style="1" customWidth="1"/>
    <col min="11" max="16384" width="8.7265625" style="1"/>
  </cols>
  <sheetData>
    <row r="1" spans="1:10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10" x14ac:dyDescent="0.35">
      <c r="A2" s="1" t="s">
        <v>6</v>
      </c>
      <c r="B2" s="1" t="s">
        <v>7</v>
      </c>
      <c r="C2" s="1">
        <v>1200</v>
      </c>
      <c r="D2" s="1">
        <v>1400</v>
      </c>
      <c r="E2" s="1">
        <v>1350</v>
      </c>
      <c r="F2" s="1">
        <f>SUM(C2:E2)</f>
        <v>3950</v>
      </c>
    </row>
    <row r="3" spans="1:10" x14ac:dyDescent="0.35">
      <c r="A3" s="1" t="s">
        <v>8</v>
      </c>
      <c r="B3" s="1" t="s">
        <v>7</v>
      </c>
      <c r="C3" s="1">
        <v>800</v>
      </c>
      <c r="D3" s="1">
        <v>950</v>
      </c>
      <c r="E3" s="1">
        <v>1100</v>
      </c>
      <c r="F3" s="1">
        <f>SUM(C3:E3)</f>
        <v>2850</v>
      </c>
    </row>
    <row r="4" spans="1:10" x14ac:dyDescent="0.35">
      <c r="A4" s="1" t="s">
        <v>9</v>
      </c>
      <c r="B4" s="1" t="s">
        <v>7</v>
      </c>
      <c r="C4" s="1">
        <v>150</v>
      </c>
      <c r="D4" s="1">
        <v>200</v>
      </c>
      <c r="E4" s="1">
        <v>250</v>
      </c>
      <c r="F4" s="1">
        <f>SUM(C4:E4)</f>
        <v>600</v>
      </c>
    </row>
    <row r="5" spans="1:10" x14ac:dyDescent="0.35">
      <c r="A5" s="1" t="s">
        <v>10</v>
      </c>
      <c r="B5" s="1" t="s">
        <v>11</v>
      </c>
      <c r="C5" s="1">
        <v>350</v>
      </c>
      <c r="D5" s="1">
        <v>300</v>
      </c>
      <c r="E5" s="1">
        <v>400</v>
      </c>
      <c r="F5" s="1">
        <f>SUM(C5:E5)</f>
        <v>1050</v>
      </c>
    </row>
    <row r="6" spans="1:10" ht="15" customHeight="1" x14ac:dyDescent="0.35">
      <c r="A6" s="1" t="s">
        <v>12</v>
      </c>
      <c r="B6" s="1" t="s">
        <v>13</v>
      </c>
      <c r="C6" s="1">
        <v>120</v>
      </c>
      <c r="D6" s="1">
        <v>140</v>
      </c>
      <c r="E6" s="1">
        <v>160</v>
      </c>
      <c r="F6" s="1">
        <f>SUM(C6:E6)</f>
        <v>420</v>
      </c>
      <c r="J6" s="4"/>
    </row>
    <row r="7" spans="1:10" x14ac:dyDescent="0.35">
      <c r="A7" s="1" t="s">
        <v>14</v>
      </c>
      <c r="B7" s="1" t="s">
        <v>13</v>
      </c>
      <c r="C7" s="1">
        <v>80</v>
      </c>
      <c r="D7" s="1">
        <v>100</v>
      </c>
      <c r="E7" s="1">
        <v>110</v>
      </c>
      <c r="F7" s="1">
        <f>SUM(C7:E7)</f>
        <v>290</v>
      </c>
    </row>
    <row r="8" spans="1:10" x14ac:dyDescent="0.35">
      <c r="A8" s="1" t="s">
        <v>15</v>
      </c>
      <c r="B8" s="1" t="s">
        <v>16</v>
      </c>
      <c r="C8" s="1">
        <v>200</v>
      </c>
      <c r="D8" s="1">
        <v>250</v>
      </c>
      <c r="E8" s="1">
        <v>300</v>
      </c>
      <c r="F8" s="1">
        <f>SUM(C8:E8)</f>
        <v>750</v>
      </c>
    </row>
    <row r="9" spans="1:10" x14ac:dyDescent="0.35">
      <c r="A9" s="1" t="s">
        <v>17</v>
      </c>
      <c r="B9" s="1" t="s">
        <v>16</v>
      </c>
      <c r="C9" s="1">
        <v>300</v>
      </c>
      <c r="D9" s="1">
        <v>350</v>
      </c>
      <c r="E9" s="1">
        <v>400</v>
      </c>
      <c r="F9" s="1">
        <f>SUM(C9:E9)</f>
        <v>1050</v>
      </c>
    </row>
    <row r="10" spans="1:10" x14ac:dyDescent="0.35">
      <c r="A10" s="1" t="s">
        <v>18</v>
      </c>
      <c r="B10" s="1" t="s">
        <v>19</v>
      </c>
      <c r="C10" s="1">
        <v>250</v>
      </c>
      <c r="D10" s="1">
        <v>280</v>
      </c>
      <c r="E10" s="1">
        <v>320</v>
      </c>
      <c r="F10" s="1">
        <f>SUM(C10:E10)</f>
        <v>850</v>
      </c>
    </row>
    <row r="11" spans="1:10" x14ac:dyDescent="0.35">
      <c r="A11" s="1" t="s">
        <v>5</v>
      </c>
      <c r="C11" s="1">
        <f>SUM(C2:C10)</f>
        <v>3450</v>
      </c>
      <c r="D11" s="1">
        <f>SUM(D2:D10)</f>
        <v>3970</v>
      </c>
      <c r="E11" s="1">
        <f>SUM(E2:E10)</f>
        <v>4390</v>
      </c>
      <c r="F11" s="1">
        <f>SUM(F2:F10)</f>
        <v>11810</v>
      </c>
    </row>
    <row r="13" spans="1:10" x14ac:dyDescent="0.35">
      <c r="A13" s="2" t="s">
        <v>25</v>
      </c>
      <c r="B13" s="1">
        <f>AVERAGE(C2:E10)</f>
        <v>437.40740740740739</v>
      </c>
      <c r="C13" s="1">
        <f>AVERAGE(D2:D10)</f>
        <v>441.11111111111109</v>
      </c>
      <c r="D13" s="1">
        <f>AVERAGE(E2:E10)</f>
        <v>487.77777777777777</v>
      </c>
    </row>
    <row r="14" spans="1:10" x14ac:dyDescent="0.35">
      <c r="A14" s="2" t="s">
        <v>26</v>
      </c>
      <c r="B14" s="1">
        <f>MAX(C2:E10)</f>
        <v>1400</v>
      </c>
    </row>
    <row r="15" spans="1:10" x14ac:dyDescent="0.35">
      <c r="A15" s="2" t="s">
        <v>27</v>
      </c>
      <c r="B15" s="1">
        <f>MIN(C2:E10)</f>
        <v>80</v>
      </c>
    </row>
    <row r="17" spans="1:5" x14ac:dyDescent="0.35">
      <c r="A17" s="2" t="s">
        <v>22</v>
      </c>
    </row>
    <row r="18" spans="1:5" x14ac:dyDescent="0.35">
      <c r="A18" s="1">
        <f>MAX(C2:E2)</f>
        <v>1400</v>
      </c>
      <c r="D18" s="1">
        <f>MAX(C2:E2)</f>
        <v>1400</v>
      </c>
    </row>
    <row r="20" spans="1:5" ht="25.5" customHeight="1" x14ac:dyDescent="0.35">
      <c r="A20" s="2" t="s">
        <v>20</v>
      </c>
      <c r="E20" s="5"/>
    </row>
    <row r="21" spans="1:5" ht="17.25" customHeight="1" x14ac:dyDescent="0.35">
      <c r="A21" s="1" cm="1">
        <f t="array" ref="A21">MAX(_xlfn._xlws.FILTER(C2:E10, B2:B10="Electronics"))</f>
        <v>1400</v>
      </c>
      <c r="D21" s="1" cm="1">
        <f t="array" ref="D21">MAX(_xlfn._xlws.FILTER(C2:E10,B2:B10="Electronics"))</f>
        <v>1400</v>
      </c>
    </row>
    <row r="23" spans="1:5" ht="18.75" customHeight="1" x14ac:dyDescent="0.35">
      <c r="A23" s="2" t="s">
        <v>21</v>
      </c>
    </row>
    <row r="24" spans="1:5" x14ac:dyDescent="0.35">
      <c r="A24" s="1">
        <f>MAX(SUMIF(B2:B10, "Electronics", C2:E10))</f>
        <v>2150</v>
      </c>
      <c r="B24" s="6" t="s">
        <v>23</v>
      </c>
      <c r="C24" s="1" t="str">
        <f ca="1">+_xlfn.FORMULATEXT(A24)</f>
        <v>=MAX(SUMIF(B2:B10, "Electronics", C2:E10))</v>
      </c>
    </row>
    <row r="25" spans="1:5" x14ac:dyDescent="0.35">
      <c r="A25" s="1">
        <f>SUMIF($B$2:$B$10, "Electronics", C$2:C$10)</f>
        <v>2150</v>
      </c>
      <c r="B25" s="6" t="s">
        <v>24</v>
      </c>
      <c r="C25" s="1" t="str">
        <f ca="1">+_xlfn.FORMULATEXT(A25)</f>
        <v>=SUMIF($B$2:$B$10, "Electronics", C$2:C$10)</v>
      </c>
      <c r="D25" s="1">
        <f>SUMIF($B$2:$B$10, "Electronics", C$2:C$10)</f>
        <v>2150</v>
      </c>
    </row>
    <row r="27" spans="1:5" ht="20.25" customHeight="1" x14ac:dyDescent="0.35"/>
    <row r="28" spans="1:5" ht="17.25" customHeight="1" x14ac:dyDescent="0.35"/>
    <row r="31" spans="1:5" ht="19.5" customHeight="1" x14ac:dyDescent="0.35"/>
    <row r="40" ht="19.5" customHeight="1" x14ac:dyDescent="0.35"/>
  </sheetData>
  <conditionalFormatting sqref="A1:G11">
    <cfRule type="colorScale" priority="4">
      <colorScale>
        <cfvo type="min"/>
        <cfvo type="max"/>
        <color rgb="FFFCFCFF"/>
        <color rgb="FF63BE7B"/>
      </colorScale>
    </cfRule>
  </conditionalFormatting>
  <conditionalFormatting sqref="I5">
    <cfRule type="top10" dxfId="3" priority="3" rank="10"/>
  </conditionalFormatting>
  <conditionalFormatting sqref="A1:F11">
    <cfRule type="top10" dxfId="0" priority="2" rank="10"/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Jaclyn Paez</dc:creator>
  <cp:keywords/>
  <dc:description/>
  <cp:lastModifiedBy>Jaclyn Paez</cp:lastModifiedBy>
  <cp:revision/>
  <dcterms:created xsi:type="dcterms:W3CDTF">2025-04-10T17:53:45Z</dcterms:created>
  <dcterms:modified xsi:type="dcterms:W3CDTF">2026-05-23T01:12:51Z</dcterms:modified>
  <cp:category/>
  <cp:contentStatus/>
</cp:coreProperties>
</file>